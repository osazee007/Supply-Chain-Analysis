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xr:revisionPtr revIDLastSave="155" documentId="11_E60897F41BE170836B02CE998F75CCDC64E183C8" xr6:coauthVersionLast="47" xr6:coauthVersionMax="47" xr10:uidLastSave="{AB92F652-6728-41A1-9672-A0449B6E67F1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Sheet1!$A$1:$F$6</definedName>
  </definedNames>
  <calcPr calcId="191028"/>
  <pivotCaches>
    <pivotCache cacheId="1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3" i="1"/>
  <c r="H4" i="1"/>
  <c r="H5" i="1"/>
  <c r="H6" i="1"/>
  <c r="H2" i="1"/>
  <c r="I2" i="1"/>
</calcChain>
</file>

<file path=xl/sharedStrings.xml><?xml version="1.0" encoding="utf-8"?>
<sst xmlns="http://schemas.openxmlformats.org/spreadsheetml/2006/main" count="30" uniqueCount="24">
  <si>
    <t>Country</t>
  </si>
  <si>
    <t>Sum of Unit Price</t>
  </si>
  <si>
    <t xml:space="preserve">China </t>
  </si>
  <si>
    <t>France</t>
  </si>
  <si>
    <t>Germany</t>
  </si>
  <si>
    <t>Nigeria</t>
  </si>
  <si>
    <t>Grand Total</t>
  </si>
  <si>
    <t>ID</t>
  </si>
  <si>
    <t>Name</t>
  </si>
  <si>
    <t>Product</t>
  </si>
  <si>
    <t>Unit Price</t>
  </si>
  <si>
    <t>Quantity</t>
  </si>
  <si>
    <t>Total Stock Value</t>
  </si>
  <si>
    <t>highest unit price</t>
  </si>
  <si>
    <t>Berlin Tools GmbH</t>
  </si>
  <si>
    <t>Industrial Tools</t>
  </si>
  <si>
    <t>Renault Parts</t>
  </si>
  <si>
    <t>Engine Parts</t>
  </si>
  <si>
    <t>Paris Chemicals</t>
  </si>
  <si>
    <t>Raw Chemicals</t>
  </si>
  <si>
    <t>Lagos Steel Co</t>
  </si>
  <si>
    <t>Steel Rods</t>
  </si>
  <si>
    <t>Shanghai Logistics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</si>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</sst>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China </c:v>
                </c:pt>
                <c:pt idx="1">
                  <c:v>France</c:v>
                </c:pt>
                <c:pt idx="2">
                  <c:v>Germany</c:v>
                </c:pt>
                <c:pt idx="3">
                  <c:v>Nigeria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80</c:v>
                </c:pt>
                <c:pt idx="1">
                  <c:v>670</c:v>
                </c:pt>
                <c:pt idx="2">
                  <c:v>300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9-44ED-AAC8-2BC9569FC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59528"/>
        <c:axId val="95661576"/>
      </c:barChart>
      <c:catAx>
        <c:axId val="9565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1576"/>
        <c:crosses val="autoZero"/>
        <c:auto val="1"/>
        <c:lblAlgn val="ctr"/>
        <c:lblOffset val="100"/>
        <c:noMultiLvlLbl val="0"/>
      </c:catAx>
      <c:valAx>
        <c:axId val="9566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0</xdr:rowOff>
    </xdr:from>
    <xdr:to>
      <xdr:col>11</xdr:col>
      <xdr:colOff>419100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4D653-8294-3C3E-9515-F279C3102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5.518267939813" createdVersion="8" refreshedVersion="8" minRefreshableVersion="3" recordCount="5" xr:uid="{4551EB40-B5F5-4956-A66F-F4BD4ECAB127}">
  <cacheSource type="worksheet">
    <worksheetSource ref="A1:F6" sheet="Sheet1"/>
  </cacheSource>
  <cacheFields count="6">
    <cacheField name="ID" numFmtId="0">
      <sharedItems containsSemiMixedTypes="0" containsString="0" containsNumber="1" containsInteger="1" minValue="1" maxValue="5" count="5">
        <n v="3"/>
        <n v="1"/>
        <n v="5"/>
        <n v="2"/>
        <n v="4"/>
      </sharedItems>
    </cacheField>
    <cacheField name="Name" numFmtId="0">
      <sharedItems count="5">
        <s v="Berlin Tools GmbH"/>
        <s v="Renault Parts"/>
        <s v="Paris Chemicals"/>
        <s v="Lagos Steel Co"/>
        <s v="Shanghai Logistics"/>
      </sharedItems>
    </cacheField>
    <cacheField name="Country" numFmtId="0">
      <sharedItems count="4">
        <s v="Germany"/>
        <s v="France"/>
        <s v="Nigeria"/>
        <s v="China "/>
      </sharedItems>
    </cacheField>
    <cacheField name="Product" numFmtId="0">
      <sharedItems count="5">
        <s v="Industrial Tools"/>
        <s v="Engine Parts"/>
        <s v="Raw Chemicals"/>
        <s v="Steel Rods"/>
        <s v="Packaging"/>
      </sharedItems>
    </cacheField>
    <cacheField name="Unit Price" numFmtId="0">
      <sharedItems containsSemiMixedTypes="0" containsString="0" containsNumber="1" containsInteger="1" minValue="80" maxValue="450"/>
    </cacheField>
    <cacheField name="Quantity" numFmtId="0">
      <sharedItems containsSemiMixedTypes="0" containsString="0" containsNumber="1" containsInteger="1" minValue="15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n v="300"/>
    <n v="150"/>
  </r>
  <r>
    <x v="1"/>
    <x v="1"/>
    <x v="1"/>
    <x v="1"/>
    <n v="450"/>
    <n v="200"/>
  </r>
  <r>
    <x v="2"/>
    <x v="2"/>
    <x v="1"/>
    <x v="2"/>
    <n v="220"/>
    <n v="300"/>
  </r>
  <r>
    <x v="3"/>
    <x v="3"/>
    <x v="2"/>
    <x v="3"/>
    <n v="120"/>
    <n v="500"/>
  </r>
  <r>
    <x v="4"/>
    <x v="4"/>
    <x v="3"/>
    <x v="4"/>
    <n v="8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1BF5C-E393-497C-BC85-8FD62EFFBCA9}" name="PivotTable1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6">
    <pivotField compact="0" outline="0" showAll="0">
      <items count="6">
        <item x="1"/>
        <item x="3"/>
        <item x="0"/>
        <item x="4"/>
        <item x="2"/>
        <item t="default"/>
      </items>
    </pivotField>
    <pivotField compact="0" outline="0" showAll="0">
      <items count="6">
        <item x="0"/>
        <item x="3"/>
        <item x="2"/>
        <item x="1"/>
        <item x="4"/>
        <item t="default"/>
      </items>
    </pivotField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>
      <items count="6">
        <item x="1"/>
        <item x="0"/>
        <item x="4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 Pric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44A3-0F53-4827-88B5-51619220B0AF}">
  <dimension ref="A3:B8"/>
  <sheetViews>
    <sheetView tabSelected="1" workbookViewId="0">
      <selection activeCell="A3" sqref="A3"/>
    </sheetView>
  </sheetViews>
  <sheetFormatPr defaultRowHeight="15"/>
  <cols>
    <col min="1" max="1" width="11.42578125" bestFit="1" customWidth="1"/>
    <col min="2" max="2" width="16.28515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80</v>
      </c>
    </row>
    <row r="5" spans="1:2">
      <c r="A5" t="s">
        <v>3</v>
      </c>
      <c r="B5" s="3">
        <v>670</v>
      </c>
    </row>
    <row r="6" spans="1:2">
      <c r="A6" t="s">
        <v>4</v>
      </c>
      <c r="B6" s="3">
        <v>300</v>
      </c>
    </row>
    <row r="7" spans="1:2">
      <c r="A7" t="s">
        <v>5</v>
      </c>
      <c r="B7" s="3">
        <v>120</v>
      </c>
    </row>
    <row r="8" spans="1:2">
      <c r="A8" t="s">
        <v>6</v>
      </c>
      <c r="B8" s="3">
        <v>1170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5"/>
  <cols>
    <col min="1" max="1" width="12.28515625" bestFit="1" customWidth="1"/>
    <col min="2" max="2" width="17.140625" bestFit="1" customWidth="1"/>
    <col min="4" max="4" width="14.140625" bestFit="1" customWidth="1"/>
    <col min="5" max="5" width="9.42578125" bestFit="1" customWidth="1"/>
    <col min="8" max="8" width="15.85546875" bestFit="1" customWidth="1"/>
    <col min="9" max="9" width="16.85546875" bestFit="1" customWidth="1"/>
  </cols>
  <sheetData>
    <row r="1" spans="1:9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H1" t="s">
        <v>12</v>
      </c>
      <c r="I1" s="1" t="s">
        <v>13</v>
      </c>
    </row>
    <row r="2" spans="1:9">
      <c r="A2">
        <v>3</v>
      </c>
      <c r="B2" t="s">
        <v>14</v>
      </c>
      <c r="C2" t="s">
        <v>4</v>
      </c>
      <c r="D2" t="s">
        <v>15</v>
      </c>
      <c r="E2">
        <v>300</v>
      </c>
      <c r="F2">
        <v>150</v>
      </c>
      <c r="H2">
        <f>E2*F2</f>
        <v>45000</v>
      </c>
      <c r="I2">
        <f>MAX(E2:E6)</f>
        <v>450</v>
      </c>
    </row>
    <row r="3" spans="1:9">
      <c r="A3">
        <v>1</v>
      </c>
      <c r="B3" t="s">
        <v>16</v>
      </c>
      <c r="C3" t="s">
        <v>3</v>
      </c>
      <c r="D3" t="s">
        <v>17</v>
      </c>
      <c r="E3">
        <v>450</v>
      </c>
      <c r="F3">
        <v>200</v>
      </c>
      <c r="H3">
        <f t="shared" ref="H3:H6" si="0">E3*F3</f>
        <v>90000</v>
      </c>
    </row>
    <row r="4" spans="1:9">
      <c r="A4">
        <v>5</v>
      </c>
      <c r="B4" t="s">
        <v>18</v>
      </c>
      <c r="C4" t="s">
        <v>3</v>
      </c>
      <c r="D4" t="s">
        <v>19</v>
      </c>
      <c r="E4">
        <v>220</v>
      </c>
      <c r="F4">
        <v>300</v>
      </c>
      <c r="H4">
        <f t="shared" si="0"/>
        <v>66000</v>
      </c>
    </row>
    <row r="5" spans="1:9">
      <c r="A5">
        <v>2</v>
      </c>
      <c r="B5" t="s">
        <v>20</v>
      </c>
      <c r="C5" t="s">
        <v>5</v>
      </c>
      <c r="D5" t="s">
        <v>21</v>
      </c>
      <c r="E5">
        <v>120</v>
      </c>
      <c r="F5">
        <v>500</v>
      </c>
      <c r="H5">
        <f t="shared" si="0"/>
        <v>60000</v>
      </c>
    </row>
    <row r="6" spans="1:9">
      <c r="A6">
        <v>4</v>
      </c>
      <c r="B6" t="s">
        <v>22</v>
      </c>
      <c r="C6" t="s">
        <v>2</v>
      </c>
      <c r="D6" t="s">
        <v>23</v>
      </c>
      <c r="E6">
        <v>80</v>
      </c>
      <c r="F6">
        <v>1000</v>
      </c>
      <c r="H6">
        <f t="shared" si="0"/>
        <v>80000</v>
      </c>
    </row>
    <row r="7" spans="1:9">
      <c r="H7">
        <f>SUM(H2:H6)</f>
        <v>341000</v>
      </c>
    </row>
    <row r="8" spans="1:9">
      <c r="H8">
        <f>AVERAGE(H2:H6)</f>
        <v>68200</v>
      </c>
    </row>
    <row r="9" spans="1:9">
      <c r="H9">
        <f>MAX(H2:H6)</f>
        <v>90000</v>
      </c>
    </row>
    <row r="10" spans="1:9">
      <c r="H10">
        <f>MIN(H2:H6)</f>
        <v>45000</v>
      </c>
    </row>
  </sheetData>
  <autoFilter ref="A1:F6" xr:uid="{00000000-0001-0000-0000-000000000000}">
    <sortState xmlns:xlrd2="http://schemas.microsoft.com/office/spreadsheetml/2017/richdata2" ref="A2:F6">
      <sortCondition ref="F1:F6"/>
    </sortState>
  </autoFilter>
  <conditionalFormatting sqref="E2:E6">
    <cfRule type="cellIs" dxfId="1" priority="2" operator="greaterThan">
      <formula>300</formula>
    </cfRule>
  </conditionalFormatting>
  <conditionalFormatting sqref="F2:F6">
    <cfRule type="cellIs" dxfId="0" priority="1" operator="greaterThan"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freddie oz</cp:lastModifiedBy>
  <cp:revision/>
  <dcterms:created xsi:type="dcterms:W3CDTF">2026-05-01T08:27:48Z</dcterms:created>
  <dcterms:modified xsi:type="dcterms:W3CDTF">2026-06-04T11:01:01Z</dcterms:modified>
  <cp:category/>
  <cp:contentStatus/>
</cp:coreProperties>
</file>